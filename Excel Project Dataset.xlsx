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8_{D71ABD63-BA05-45CC-B0F9-ACB079A8C0A6}" xr6:coauthVersionLast="47" xr6:coauthVersionMax="47" xr10:uidLastSave="{00000000-0000-0000-0000-000000000000}"/>
  <bookViews>
    <workbookView xWindow="-120" yWindow="-120" windowWidth="20730" windowHeight="11040" firstSheet="1" activeTab="2"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<sst xmlns="http://schemas.openxmlformats.org/spreadsheetml/2006/main" count="16267" uniqueCount="51">
  <si>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</si>
  <si>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</si>
  <si>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</si>
  <si>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</si>
  <si>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</si>
  <si>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</si>
  <si>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</si>
  <si>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</si>
  <si>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</si>
  <si>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</si>
  <si>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</si>
  <si>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</si>
  <si>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</si>
  <si>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</si>
  <si>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</si>
  <si>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</si>
  <si>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</si>
  <si>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</si>
  <si>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</si>
  <si>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</si>
  <si>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</si>
  <si>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</si>
  <si>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</si>
  <si>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</si>
  <si>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</si>
  <si>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</si>
  <si>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</si>
  <si>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</si>
  <si>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</si>
  <si>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</si>
  <si>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</si>
  <si>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</si>
  <si>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</si>
  <si>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</si>
  <si>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</si>
  <si>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</si>
  <si>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</si>
  <si>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</si>
  <si>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</si>
  <si>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</si>
  <si>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</si>
  <si>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</si>
  <si>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</si>
  <si>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</si>
  <si>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</si>
  <si>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</si>
  <si>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</si>
  <si>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Adoloscent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</si>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</sst>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85000</c:v>
                </c:pt>
                <c:pt idx="1">
                  <c:v>78181.818181818177</c:v>
                </c:pt>
              </c:numCache>
            </c:numRef>
          </c:val>
          <c:extLst>
            <c:ext xmlns:c16="http://schemas.microsoft.com/office/drawing/2014/chart" uri="{C3380CC4-5D6E-409C-BE32-E72D297353CC}">
              <c16:uniqueId val="{00000000-F90F-4B7E-89F4-7EECB6C952E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68750</c:v>
                </c:pt>
                <c:pt idx="1">
                  <c:v>72727.272727272721</c:v>
                </c:pt>
              </c:numCache>
            </c:numRef>
          </c:val>
          <c:extLst>
            <c:ext xmlns:c16="http://schemas.microsoft.com/office/drawing/2014/chart" uri="{C3380CC4-5D6E-409C-BE32-E72D297353CC}">
              <c16:uniqueId val="{00000001-F90F-4B7E-89F4-7EECB6C952E7}"/>
            </c:ext>
          </c:extLst>
        </c:ser>
        <c:dLbls>
          <c:showLegendKey val="0"/>
          <c:showVal val="0"/>
          <c:showCatName val="0"/>
          <c:showSerName val="0"/>
          <c:showPercent val="0"/>
          <c:showBubbleSize val="0"/>
        </c:dLbls>
        <c:gapWidth val="219"/>
        <c:overlap val="-27"/>
        <c:axId val="574235471"/>
        <c:axId val="574240751"/>
      </c:barChart>
      <c:catAx>
        <c:axId val="574235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40751"/>
        <c:crosses val="autoZero"/>
        <c:auto val="1"/>
        <c:lblAlgn val="ctr"/>
        <c:lblOffset val="100"/>
        <c:noMultiLvlLbl val="0"/>
      </c:catAx>
      <c:valAx>
        <c:axId val="574240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354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425C-49FC-8946-5A73169C026A}"/>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425C-49FC-8946-5A73169C026A}"/>
            </c:ext>
          </c:extLst>
        </c:ser>
        <c:dLbls>
          <c:showLegendKey val="0"/>
          <c:showVal val="0"/>
          <c:showCatName val="0"/>
          <c:showSerName val="0"/>
          <c:showPercent val="0"/>
          <c:showBubbleSize val="0"/>
        </c:dLbls>
        <c:smooth val="0"/>
        <c:axId val="574259471"/>
        <c:axId val="574259951"/>
      </c:lineChart>
      <c:catAx>
        <c:axId val="574259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59951"/>
        <c:crosses val="autoZero"/>
        <c:auto val="1"/>
        <c:lblAlgn val="ctr"/>
        <c:lblOffset val="100"/>
        <c:noMultiLvlLbl val="0"/>
      </c:catAx>
      <c:valAx>
        <c:axId val="574259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5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Adoloscent</c:v>
                </c:pt>
                <c:pt idx="1">
                  <c:v>Middle Age</c:v>
                </c:pt>
                <c:pt idx="2">
                  <c:v>Old</c:v>
                </c:pt>
              </c:strCache>
            </c:strRef>
          </c:cat>
          <c:val>
            <c:numRef>
              <c:f>'PIVOT TABLE'!$B$41:$B$44</c:f>
              <c:numCache>
                <c:formatCode>General</c:formatCode>
                <c:ptCount val="3"/>
                <c:pt idx="0">
                  <c:v>1</c:v>
                </c:pt>
                <c:pt idx="1">
                  <c:v>12</c:v>
                </c:pt>
                <c:pt idx="2">
                  <c:v>2</c:v>
                </c:pt>
              </c:numCache>
            </c:numRef>
          </c:val>
          <c:smooth val="0"/>
          <c:extLst>
            <c:ext xmlns:c16="http://schemas.microsoft.com/office/drawing/2014/chart" uri="{C3380CC4-5D6E-409C-BE32-E72D297353CC}">
              <c16:uniqueId val="{00000000-0D4F-48CB-90C7-BE0DE94115C7}"/>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Adoloscent</c:v>
                </c:pt>
                <c:pt idx="1">
                  <c:v>Middle Age</c:v>
                </c:pt>
                <c:pt idx="2">
                  <c:v>Old</c:v>
                </c:pt>
              </c:strCache>
            </c:strRef>
          </c:cat>
          <c:val>
            <c:numRef>
              <c:f>'PIVOT TABLE'!$C$41:$C$44</c:f>
              <c:numCache>
                <c:formatCode>General</c:formatCode>
                <c:ptCount val="3"/>
                <c:pt idx="0">
                  <c:v>4</c:v>
                </c:pt>
                <c:pt idx="1">
                  <c:v>13</c:v>
                </c:pt>
                <c:pt idx="2">
                  <c:v>2</c:v>
                </c:pt>
              </c:numCache>
            </c:numRef>
          </c:val>
          <c:smooth val="0"/>
          <c:extLst>
            <c:ext xmlns:c16="http://schemas.microsoft.com/office/drawing/2014/chart" uri="{C3380CC4-5D6E-409C-BE32-E72D297353CC}">
              <c16:uniqueId val="{00000001-0D4F-48CB-90C7-BE0DE94115C7}"/>
            </c:ext>
          </c:extLst>
        </c:ser>
        <c:dLbls>
          <c:showLegendKey val="0"/>
          <c:showVal val="0"/>
          <c:showCatName val="0"/>
          <c:showSerName val="0"/>
          <c:showPercent val="0"/>
          <c:showBubbleSize val="0"/>
        </c:dLbls>
        <c:smooth val="0"/>
        <c:axId val="574263311"/>
        <c:axId val="574284911"/>
      </c:lineChart>
      <c:catAx>
        <c:axId val="574263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84911"/>
        <c:crosses val="autoZero"/>
        <c:auto val="1"/>
        <c:lblAlgn val="ctr"/>
        <c:lblOffset val="100"/>
        <c:noMultiLvlLbl val="0"/>
      </c:catAx>
      <c:valAx>
        <c:axId val="57428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6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85000</c:v>
                </c:pt>
                <c:pt idx="1">
                  <c:v>78181.818181818177</c:v>
                </c:pt>
              </c:numCache>
            </c:numRef>
          </c:val>
          <c:extLst>
            <c:ext xmlns:c16="http://schemas.microsoft.com/office/drawing/2014/chart" uri="{C3380CC4-5D6E-409C-BE32-E72D297353CC}">
              <c16:uniqueId val="{00000000-898B-4625-AB21-ECFA831DEFD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68750</c:v>
                </c:pt>
                <c:pt idx="1">
                  <c:v>72727.272727272721</c:v>
                </c:pt>
              </c:numCache>
            </c:numRef>
          </c:val>
          <c:extLst>
            <c:ext xmlns:c16="http://schemas.microsoft.com/office/drawing/2014/chart" uri="{C3380CC4-5D6E-409C-BE32-E72D297353CC}">
              <c16:uniqueId val="{00000001-898B-4625-AB21-ECFA831DEFDE}"/>
            </c:ext>
          </c:extLst>
        </c:ser>
        <c:dLbls>
          <c:showLegendKey val="0"/>
          <c:showVal val="0"/>
          <c:showCatName val="0"/>
          <c:showSerName val="0"/>
          <c:showPercent val="0"/>
          <c:showBubbleSize val="0"/>
        </c:dLbls>
        <c:gapWidth val="219"/>
        <c:overlap val="-27"/>
        <c:axId val="574235471"/>
        <c:axId val="574240751"/>
      </c:barChart>
      <c:catAx>
        <c:axId val="574235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40751"/>
        <c:crosses val="autoZero"/>
        <c:auto val="1"/>
        <c:lblAlgn val="ctr"/>
        <c:lblOffset val="100"/>
        <c:noMultiLvlLbl val="0"/>
      </c:catAx>
      <c:valAx>
        <c:axId val="574240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354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1C30-4801-A524-A682A715A88F}"/>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1C30-4801-A524-A682A715A88F}"/>
            </c:ext>
          </c:extLst>
        </c:ser>
        <c:dLbls>
          <c:showLegendKey val="0"/>
          <c:showVal val="0"/>
          <c:showCatName val="0"/>
          <c:showSerName val="0"/>
          <c:showPercent val="0"/>
          <c:showBubbleSize val="0"/>
        </c:dLbls>
        <c:smooth val="0"/>
        <c:axId val="574259471"/>
        <c:axId val="574259951"/>
      </c:lineChart>
      <c:catAx>
        <c:axId val="574259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59951"/>
        <c:crosses val="autoZero"/>
        <c:auto val="1"/>
        <c:lblAlgn val="ctr"/>
        <c:lblOffset val="100"/>
        <c:noMultiLvlLbl val="0"/>
      </c:catAx>
      <c:valAx>
        <c:axId val="574259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5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311333531393940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Adoloscent</c:v>
                </c:pt>
                <c:pt idx="1">
                  <c:v>Middle Age</c:v>
                </c:pt>
                <c:pt idx="2">
                  <c:v>Old</c:v>
                </c:pt>
              </c:strCache>
            </c:strRef>
          </c:cat>
          <c:val>
            <c:numRef>
              <c:f>'PIVOT TABLE'!$B$41:$B$44</c:f>
              <c:numCache>
                <c:formatCode>General</c:formatCode>
                <c:ptCount val="3"/>
                <c:pt idx="0">
                  <c:v>1</c:v>
                </c:pt>
                <c:pt idx="1">
                  <c:v>12</c:v>
                </c:pt>
                <c:pt idx="2">
                  <c:v>2</c:v>
                </c:pt>
              </c:numCache>
            </c:numRef>
          </c:val>
          <c:smooth val="0"/>
          <c:extLst>
            <c:ext xmlns:c16="http://schemas.microsoft.com/office/drawing/2014/chart" uri="{C3380CC4-5D6E-409C-BE32-E72D297353CC}">
              <c16:uniqueId val="{00000000-5813-4EBF-B7C1-DBFF8B6ED65C}"/>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Adoloscent</c:v>
                </c:pt>
                <c:pt idx="1">
                  <c:v>Middle Age</c:v>
                </c:pt>
                <c:pt idx="2">
                  <c:v>Old</c:v>
                </c:pt>
              </c:strCache>
            </c:strRef>
          </c:cat>
          <c:val>
            <c:numRef>
              <c:f>'PIVOT TABLE'!$C$41:$C$44</c:f>
              <c:numCache>
                <c:formatCode>General</c:formatCode>
                <c:ptCount val="3"/>
                <c:pt idx="0">
                  <c:v>4</c:v>
                </c:pt>
                <c:pt idx="1">
                  <c:v>13</c:v>
                </c:pt>
                <c:pt idx="2">
                  <c:v>2</c:v>
                </c:pt>
              </c:numCache>
            </c:numRef>
          </c:val>
          <c:smooth val="0"/>
          <c:extLst>
            <c:ext xmlns:c16="http://schemas.microsoft.com/office/drawing/2014/chart" uri="{C3380CC4-5D6E-409C-BE32-E72D297353CC}">
              <c16:uniqueId val="{00000001-5813-4EBF-B7C1-DBFF8B6ED65C}"/>
            </c:ext>
          </c:extLst>
        </c:ser>
        <c:dLbls>
          <c:showLegendKey val="0"/>
          <c:showVal val="0"/>
          <c:showCatName val="0"/>
          <c:showSerName val="0"/>
          <c:showPercent val="0"/>
          <c:showBubbleSize val="0"/>
        </c:dLbls>
        <c:smooth val="0"/>
        <c:axId val="574263311"/>
        <c:axId val="574284911"/>
      </c:lineChart>
      <c:catAx>
        <c:axId val="574263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84911"/>
        <c:crosses val="autoZero"/>
        <c:auto val="1"/>
        <c:lblAlgn val="ctr"/>
        <c:lblOffset val="100"/>
        <c:noMultiLvlLbl val="0"/>
      </c:catAx>
      <c:valAx>
        <c:axId val="57428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6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152400</xdr:colOff>
      <xdr:row>1</xdr:row>
      <xdr:rowOff>100012</xdr:rowOff>
    </xdr:from>
    <xdr:to>
      <xdr:col>12</xdr:col>
      <xdr:colOff>457200</xdr:colOff>
      <xdr:row>15</xdr:row>
      <xdr:rowOff>176212</xdr:rowOff>
    </xdr:to>
    <xdr:graphicFrame macro="">
      <xdr:nvGraphicFramePr>
        <xdr:cNvPr id="2" name="Chart 1">
          <a:extLst>
            <a:ext uri="{FF2B5EF4-FFF2-40B4-BE49-F238E27FC236}">
              <a16:creationId xmlns:a16="http://schemas.microsoft.com/office/drawing/2014/main" id="{26B620FF-E683-ADFC-370D-5C8364A86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102053</xdr:colOff>
      <xdr:row>18</xdr:row>
      <xdr:rowOff>162605</xdr:rowOff>
    </xdr:from>
    <xdr:to>
      <xdr:col>12</xdr:col>
      <xdr:colOff>406853</xdr:colOff>
      <xdr:row>33</xdr:row>
      <xdr:rowOff>48305</xdr:rowOff>
    </xdr:to>
    <xdr:graphicFrame macro="">
      <xdr:nvGraphicFramePr>
        <xdr:cNvPr id="3" name="Chart 2">
          <a:extLst>
            <a:ext uri="{FF2B5EF4-FFF2-40B4-BE49-F238E27FC236}">
              <a16:creationId xmlns:a16="http://schemas.microsoft.com/office/drawing/2014/main" id="{7CE1E6FC-DA2C-BD69-9257-0DE7D2ECC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39220</xdr:colOff>
      <xdr:row>36</xdr:row>
      <xdr:rowOff>101973</xdr:rowOff>
    </xdr:from>
    <xdr:to>
      <xdr:col>12</xdr:col>
      <xdr:colOff>375396</xdr:colOff>
      <xdr:row>50</xdr:row>
      <xdr:rowOff>178173</xdr:rowOff>
    </xdr:to>
    <xdr:graphicFrame macro="">
      <xdr:nvGraphicFramePr>
        <xdr:cNvPr id="4" name="Chart 3">
          <a:extLst>
            <a:ext uri="{FF2B5EF4-FFF2-40B4-BE49-F238E27FC236}">
              <a16:creationId xmlns:a16="http://schemas.microsoft.com/office/drawing/2014/main" id="{4937A98C-A4F2-95D8-0768-5FB1CB3AC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6433</xdr:rowOff>
    </xdr:from>
    <xdr:to>
      <xdr:col>8</xdr:col>
      <xdr:colOff>449080</xdr:colOff>
      <xdr:row>17</xdr:row>
      <xdr:rowOff>140805</xdr:rowOff>
    </xdr:to>
    <xdr:graphicFrame macro="">
      <xdr:nvGraphicFramePr>
        <xdr:cNvPr id="2" name="Chart 1">
          <a:extLst>
            <a:ext uri="{FF2B5EF4-FFF2-40B4-BE49-F238E27FC236}">
              <a16:creationId xmlns:a16="http://schemas.microsoft.com/office/drawing/2014/main" id="{685292CE-57F9-4EB7-AC3D-2D362BCB3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453111</xdr:colOff>
      <xdr:row>3</xdr:row>
      <xdr:rowOff>7327</xdr:rowOff>
    </xdr:from>
    <xdr:to>
      <xdr:col>16</xdr:col>
      <xdr:colOff>0</xdr:colOff>
      <xdr:row>17</xdr:row>
      <xdr:rowOff>132523</xdr:rowOff>
    </xdr:to>
    <xdr:graphicFrame macro="">
      <xdr:nvGraphicFramePr>
        <xdr:cNvPr id="3" name="Chart 2">
          <a:extLst>
            <a:ext uri="{FF2B5EF4-FFF2-40B4-BE49-F238E27FC236}">
              <a16:creationId xmlns:a16="http://schemas.microsoft.com/office/drawing/2014/main" id="{3F5635A6-A378-41C5-8C45-C73688D4B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100118</xdr:colOff>
      <xdr:row>17</xdr:row>
      <xdr:rowOff>131061</xdr:rowOff>
    </xdr:from>
    <xdr:to>
      <xdr:col>12</xdr:col>
      <xdr:colOff>443735</xdr:colOff>
      <xdr:row>32</xdr:row>
      <xdr:rowOff>45052</xdr:rowOff>
    </xdr:to>
    <xdr:graphicFrame macro="">
      <xdr:nvGraphicFramePr>
        <xdr:cNvPr id="4" name="Chart 3">
          <a:extLst>
            <a:ext uri="{FF2B5EF4-FFF2-40B4-BE49-F238E27FC236}">
              <a16:creationId xmlns:a16="http://schemas.microsoft.com/office/drawing/2014/main" id="{3045AAED-2307-490F-8AEC-747E717AA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43296</xdr:colOff>
      <xdr:row>3</xdr:row>
      <xdr:rowOff>24246</xdr:rowOff>
    </xdr:from>
    <xdr:to>
      <xdr:col>2</xdr:col>
      <xdr:colOff>571500</xdr:colOff>
      <xdr:row>8</xdr:row>
      <xdr:rowOff>44823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8A0F46E-E861-55BE-AA0B-A9F49FE9B44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3296" y="1191059"/>
              <a:ext cx="1766454" cy="973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74599</xdr:rowOff>
    </xdr:from>
    <xdr:to>
      <xdr:col>2</xdr:col>
      <xdr:colOff>596954</xdr:colOff>
      <xdr:row>17</xdr:row>
      <xdr:rowOff>145676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5DD77C9-0E05-E094-752B-A8D48948AFB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193912"/>
              <a:ext cx="1835204" cy="1785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153074</xdr:rowOff>
    </xdr:from>
    <xdr:to>
      <xdr:col>2</xdr:col>
      <xdr:colOff>596954</xdr:colOff>
      <xdr:row>31</xdr:row>
      <xdr:rowOff>10199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A625BF7-F1B6-7A95-E1B8-4663EBA490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986887"/>
              <a:ext cx="183520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90.616702199077" createdVersion="8" refreshedVersion="8" minRefreshableVersion="3" recordCount="1000" xr:uid="{50FEABEC-2DD1-4686-A3A7-DDB7472DCE1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754774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798AED-76A4-4E0B-91C1-A486B8DADC78}"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6891DE-7A43-4FCA-A77E-CA1E6706A23E}"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03AF56-BFF9-4166-AD42-2CBEC24166DA}"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83C5753-6B5A-4729-BADE-8D042A5FA661}" sourceName="Marital Status">
  <pivotTables>
    <pivotTable tabId="3" name="PivotTable1"/>
    <pivotTable tabId="3" name="PivotTable2"/>
    <pivotTable tabId="3" name="PivotTable3"/>
  </pivotTables>
  <data>
    <tabular pivotCacheId="177547747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123A89E-DAF2-40B4-8A25-A6531D6C5DF5}" sourceName="Education">
  <pivotTables>
    <pivotTable tabId="3" name="PivotTable2"/>
    <pivotTable tabId="3" name="PivotTable1"/>
    <pivotTable tabId="3" name="PivotTable3"/>
  </pivotTables>
  <data>
    <tabular pivotCacheId="1775477474">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82CC00-50E8-44B9-AE79-205A933138EC}" sourceName="Region">
  <pivotTables>
    <pivotTable tabId="3" name="PivotTable2"/>
    <pivotTable tabId="3" name="PivotTable1"/>
    <pivotTable tabId="3" name="PivotTable3"/>
  </pivotTables>
  <data>
    <tabular pivotCacheId="1775477474">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813A5E9-206C-487C-9AD4-A1A4FD3BE3E7}" cache="Slicer_Marital_Status" caption="Marital Status" rowHeight="241300"/>
  <slicer name="Education" xr10:uid="{56F7FFC3-D9C1-454D-85B8-BB50F3D0B98E}" cache="Slicer_Education" caption="Education" rowHeight="241300"/>
  <slicer name="Region" xr10:uid="{FEB65136-0321-448C-936A-CC7E1949E22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5" sqref="F1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E988-6F8A-477B-80DF-B5FDAB2284B9}">
  <dimension ref="A1:N1001"/>
  <sheetViews>
    <sheetView zoomScale="115" zoomScaleNormal="115" workbookViewId="0">
      <selection activeCell="J13" sqref="J13"/>
    </sheetView>
  </sheetViews>
  <sheetFormatPr defaultRowHeight="15" x14ac:dyDescent="0.25"/>
  <cols>
    <col min="1" max="1" width="16.42578125" customWidth="1"/>
    <col min="2" max="2" width="13" customWidth="1"/>
    <col min="3" max="3" width="16.42578125" customWidth="1"/>
    <col min="4" max="4" width="15.42578125" customWidth="1"/>
    <col min="5" max="5" width="15.85546875" customWidth="1"/>
    <col min="6" max="6" width="19.7109375" customWidth="1"/>
    <col min="7" max="7" width="14.85546875" customWidth="1"/>
    <col min="8" max="8" width="12.28515625" customWidth="1"/>
    <col min="9" max="9" width="13.85546875" customWidth="1"/>
    <col min="10" max="10" width="13.28515625" customWidth="1"/>
    <col min="11" max="11" width="14" customWidth="1"/>
    <col min="12" max="12" width="10.85546875" customWidth="1"/>
    <col min="13" max="13" width="14" customWidth="1"/>
    <col min="14" max="14" width="1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f>IF(L2&gt;54, "Old", IF(L2&gt;=31, "Middle Age", IF(L2&lt;31, "Adoloscent", "Invalid")))</f>
        <v>Middle Age</v>
      </c>
      <c r="N2" t="s">
        <v>18</v>
      </c>
    </row>
    <row r="3" spans="1:14" x14ac:dyDescent="0.25">
      <c r="A3">
        <v>24107</v>
      </c>
      <c r="B3" t="s">
        <v>36</v>
      </c>
      <c r="C3" t="s">
        <v>39</v>
      </c>
      <c r="D3" s="1">
        <v>30000</v>
      </c>
      <c r="E3">
        <v>3</v>
      </c>
      <c r="F3" t="s">
        <v>19</v>
      </c>
      <c r="G3" t="s">
        <v>20</v>
      </c>
      <c r="H3" t="s">
        <v>15</v>
      </c>
      <c r="I3">
        <v>1</v>
      </c>
      <c r="J3" t="s">
        <v>16</v>
      </c>
      <c r="K3" t="s">
        <v>17</v>
      </c>
      <c r="L3">
        <v>43</v>
      </c>
      <c r="M3" t="str">
        <f t="shared" ref="M3:M66" si="0">IF(L3&gt;54, "Old", IF(L3&gt;=31, "Middle Age", IF(L3&lt;31, "Adoloscent", "Invalid")))</f>
        <v>Middle Age</v>
      </c>
      <c r="N3" t="s">
        <v>18</v>
      </c>
    </row>
    <row r="4" spans="1:14" x14ac:dyDescent="0.25">
      <c r="A4">
        <v>14177</v>
      </c>
      <c r="B4" t="s">
        <v>36</v>
      </c>
      <c r="C4" t="s">
        <v>39</v>
      </c>
      <c r="D4" s="1">
        <v>80000</v>
      </c>
      <c r="E4">
        <v>5</v>
      </c>
      <c r="F4" t="s">
        <v>19</v>
      </c>
      <c r="G4" t="s">
        <v>21</v>
      </c>
      <c r="H4" t="s">
        <v>18</v>
      </c>
      <c r="I4">
        <v>2</v>
      </c>
      <c r="J4" t="s">
        <v>22</v>
      </c>
      <c r="K4" t="s">
        <v>17</v>
      </c>
      <c r="L4">
        <v>60</v>
      </c>
      <c r="M4" t="str">
        <f t="shared" si="0"/>
        <v>Old</v>
      </c>
      <c r="N4" t="s">
        <v>18</v>
      </c>
    </row>
    <row r="5" spans="1:14" x14ac:dyDescent="0.25">
      <c r="A5">
        <v>24381</v>
      </c>
      <c r="B5" t="s">
        <v>37</v>
      </c>
      <c r="C5" t="s">
        <v>39</v>
      </c>
      <c r="D5" s="1">
        <v>70000</v>
      </c>
      <c r="E5">
        <v>0</v>
      </c>
      <c r="F5" t="s">
        <v>13</v>
      </c>
      <c r="G5" t="s">
        <v>21</v>
      </c>
      <c r="H5" t="s">
        <v>15</v>
      </c>
      <c r="I5">
        <v>1</v>
      </c>
      <c r="J5" t="s">
        <v>23</v>
      </c>
      <c r="K5" t="s">
        <v>24</v>
      </c>
      <c r="L5">
        <v>41</v>
      </c>
      <c r="M5" t="str">
        <f t="shared" si="0"/>
        <v>Middle Age</v>
      </c>
      <c r="N5" t="s">
        <v>15</v>
      </c>
    </row>
    <row r="6" spans="1:14" x14ac:dyDescent="0.25">
      <c r="A6">
        <v>25597</v>
      </c>
      <c r="B6" t="s">
        <v>37</v>
      </c>
      <c r="C6" t="s">
        <v>39</v>
      </c>
      <c r="D6" s="1">
        <v>30000</v>
      </c>
      <c r="E6">
        <v>0</v>
      </c>
      <c r="F6" t="s">
        <v>13</v>
      </c>
      <c r="G6" t="s">
        <v>20</v>
      </c>
      <c r="H6" t="s">
        <v>18</v>
      </c>
      <c r="I6">
        <v>0</v>
      </c>
      <c r="J6" t="s">
        <v>16</v>
      </c>
      <c r="K6" t="s">
        <v>17</v>
      </c>
      <c r="L6">
        <v>36</v>
      </c>
      <c r="M6" t="str">
        <f t="shared" si="0"/>
        <v>Middle Age</v>
      </c>
      <c r="N6" t="s">
        <v>15</v>
      </c>
    </row>
    <row r="7" spans="1:14" x14ac:dyDescent="0.25">
      <c r="A7">
        <v>13507</v>
      </c>
      <c r="B7" t="s">
        <v>36</v>
      </c>
      <c r="C7" t="s">
        <v>38</v>
      </c>
      <c r="D7" s="1">
        <v>10000</v>
      </c>
      <c r="E7">
        <v>2</v>
      </c>
      <c r="F7" t="s">
        <v>19</v>
      </c>
      <c r="G7" t="s">
        <v>25</v>
      </c>
      <c r="H7" t="s">
        <v>15</v>
      </c>
      <c r="I7">
        <v>0</v>
      </c>
      <c r="J7" t="s">
        <v>26</v>
      </c>
      <c r="K7" t="s">
        <v>17</v>
      </c>
      <c r="L7">
        <v>50</v>
      </c>
      <c r="M7" t="str">
        <f t="shared" si="0"/>
        <v>Middle Age</v>
      </c>
      <c r="N7" t="s">
        <v>18</v>
      </c>
    </row>
    <row r="8" spans="1:14" x14ac:dyDescent="0.25">
      <c r="A8">
        <v>27974</v>
      </c>
      <c r="B8" t="s">
        <v>37</v>
      </c>
      <c r="C8" t="s">
        <v>39</v>
      </c>
      <c r="D8" s="1">
        <v>160000</v>
      </c>
      <c r="E8">
        <v>2</v>
      </c>
      <c r="F8" t="s">
        <v>27</v>
      </c>
      <c r="G8" t="s">
        <v>28</v>
      </c>
      <c r="H8" t="s">
        <v>15</v>
      </c>
      <c r="I8">
        <v>4</v>
      </c>
      <c r="J8" t="s">
        <v>16</v>
      </c>
      <c r="K8" t="s">
        <v>24</v>
      </c>
      <c r="L8">
        <v>33</v>
      </c>
      <c r="M8" t="str">
        <f t="shared" si="0"/>
        <v>Middle Age</v>
      </c>
      <c r="N8" t="s">
        <v>15</v>
      </c>
    </row>
    <row r="9" spans="1:14" x14ac:dyDescent="0.25">
      <c r="A9">
        <v>19364</v>
      </c>
      <c r="B9" t="s">
        <v>36</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Adoloscent</v>
      </c>
      <c r="N28" t="s">
        <v>15</v>
      </c>
    </row>
    <row r="29" spans="1:14" x14ac:dyDescent="0.2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Adoloscent</v>
      </c>
      <c r="N33" t="s">
        <v>15</v>
      </c>
    </row>
    <row r="34" spans="1:14" x14ac:dyDescent="0.2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1">
        <v>30000</v>
      </c>
      <c r="E39">
        <v>0</v>
      </c>
      <c r="F39" t="s">
        <v>19</v>
      </c>
      <c r="G39" t="s">
        <v>20</v>
      </c>
      <c r="H39" t="s">
        <v>18</v>
      </c>
      <c r="I39">
        <v>1</v>
      </c>
      <c r="J39" t="s">
        <v>22</v>
      </c>
      <c r="K39" t="s">
        <v>17</v>
      </c>
      <c r="L39">
        <v>30</v>
      </c>
      <c r="M39" t="str">
        <f t="shared" si="0"/>
        <v>Adoloscent</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Adoloscent</v>
      </c>
      <c r="N40" t="s">
        <v>18</v>
      </c>
    </row>
    <row r="41" spans="1:14" x14ac:dyDescent="0.2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1">
        <v>30000</v>
      </c>
      <c r="E52">
        <v>0</v>
      </c>
      <c r="F52" t="s">
        <v>19</v>
      </c>
      <c r="G52" t="s">
        <v>20</v>
      </c>
      <c r="H52" t="s">
        <v>18</v>
      </c>
      <c r="I52">
        <v>1</v>
      </c>
      <c r="J52" t="s">
        <v>16</v>
      </c>
      <c r="K52" t="s">
        <v>17</v>
      </c>
      <c r="L52">
        <v>28</v>
      </c>
      <c r="M52" t="str">
        <f t="shared" si="0"/>
        <v>Adoloscent</v>
      </c>
      <c r="N52" t="s">
        <v>18</v>
      </c>
    </row>
    <row r="53" spans="1:14" x14ac:dyDescent="0.25">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IF(L67&gt;54, "Old", IF(L67&gt;=31, "Middle Age", IF(L67&lt;31, "Adoloscent", "Invalid")))</f>
        <v>Old</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Adoloscent</v>
      </c>
      <c r="N71" t="s">
        <v>18</v>
      </c>
    </row>
    <row r="72" spans="1:14" x14ac:dyDescent="0.25">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1">
        <v>20000</v>
      </c>
      <c r="E78">
        <v>0</v>
      </c>
      <c r="F78" t="s">
        <v>29</v>
      </c>
      <c r="G78" t="s">
        <v>25</v>
      </c>
      <c r="H78" t="s">
        <v>18</v>
      </c>
      <c r="I78">
        <v>2</v>
      </c>
      <c r="J78" t="s">
        <v>26</v>
      </c>
      <c r="K78" t="s">
        <v>17</v>
      </c>
      <c r="L78">
        <v>26</v>
      </c>
      <c r="M78" t="str">
        <f t="shared" si="1"/>
        <v>Adoloscent</v>
      </c>
      <c r="N78" t="s">
        <v>18</v>
      </c>
    </row>
    <row r="79" spans="1:14" x14ac:dyDescent="0.25">
      <c r="A79">
        <v>27969</v>
      </c>
      <c r="B79" t="s">
        <v>36</v>
      </c>
      <c r="C79" t="s">
        <v>39</v>
      </c>
      <c r="D79" s="1">
        <v>80000</v>
      </c>
      <c r="E79">
        <v>0</v>
      </c>
      <c r="F79" t="s">
        <v>13</v>
      </c>
      <c r="G79" t="s">
        <v>21</v>
      </c>
      <c r="H79" t="s">
        <v>15</v>
      </c>
      <c r="I79">
        <v>2</v>
      </c>
      <c r="J79" t="s">
        <v>46</v>
      </c>
      <c r="K79" t="s">
        <v>24</v>
      </c>
      <c r="L79">
        <v>29</v>
      </c>
      <c r="M79" t="str">
        <f t="shared" si="1"/>
        <v>Adoloscent</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Adoloscent</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Adoloscent</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Adoloscent</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f t="shared" si="1"/>
        <v>Adoloscent</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Adoloscent</v>
      </c>
      <c r="N93" t="s">
        <v>15</v>
      </c>
    </row>
    <row r="94" spans="1:14" x14ac:dyDescent="0.2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Adoloscent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f t="shared" si="1"/>
        <v>Adoloscent</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Adoloscent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Adoloscent</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f t="shared" si="1"/>
        <v>Adoloscent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IF(L131&gt;54, "Old", IF(L131&gt;=31, "Middle Age", IF(L131&lt;31, "Adoloscent", "Invalid")))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f t="shared" si="2"/>
        <v>Adoloscent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Adoloscent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Adoloscent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Adoloscent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Adoloscent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f t="shared" si="2"/>
        <v>Adoloscent</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1">
        <v>70000</v>
      </c>
      <c r="E195">
        <v>5</v>
      </c>
      <c r="F195" t="s">
        <v>13</v>
      </c>
      <c r="G195" t="s">
        <v>21</v>
      </c>
      <c r="H195" t="s">
        <v>15</v>
      </c>
      <c r="I195">
        <v>4</v>
      </c>
      <c r="J195" t="s">
        <v>46</v>
      </c>
      <c r="K195" t="s">
        <v>24</v>
      </c>
      <c r="L195">
        <v>41</v>
      </c>
      <c r="M195" t="str">
        <f t="shared" ref="M195:M258" si="3">IF(L195&gt;54, "Old", IF(L195&gt;=31, "Middle Age", IF(L195&lt;31, "Adoloscent", "Invalid")))</f>
        <v>Middle Age</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Adoloscent</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Adoloscent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f t="shared" si="3"/>
        <v>Adoloscent</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f t="shared" si="3"/>
        <v>Adoloscent</v>
      </c>
      <c r="N214" t="s">
        <v>18</v>
      </c>
    </row>
    <row r="215" spans="1:14" x14ac:dyDescent="0.25">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f t="shared" si="3"/>
        <v>Adoloscent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Adoloscent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Adoloscent</v>
      </c>
      <c r="N235" t="s">
        <v>15</v>
      </c>
    </row>
    <row r="236" spans="1:14" x14ac:dyDescent="0.25">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Adoloscent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f t="shared" si="3"/>
        <v>Adoloscent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f t="shared" si="3"/>
        <v>Adoloscent</v>
      </c>
      <c r="N245" t="s">
        <v>18</v>
      </c>
    </row>
    <row r="246" spans="1:14" x14ac:dyDescent="0.25">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 t="shared" ref="M259:M322" si="4">IF(L259&gt;54, "Old", IF(L259&gt;=31, "Middle Age", IF(L259&lt;31, "Adoloscent", "Invalid")))</f>
        <v>Middle Age</v>
      </c>
      <c r="N259" t="s">
        <v>15</v>
      </c>
    </row>
    <row r="260" spans="1:14" x14ac:dyDescent="0.25">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f t="shared" si="4"/>
        <v>Adoloscent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f t="shared" si="4"/>
        <v>Adoloscent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f t="shared" si="4"/>
        <v>Adoloscent</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f t="shared" si="4"/>
        <v>Adoloscent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 t="shared" ref="M323:M386" si="5">IF(L323&gt;54, "Old", IF(L323&gt;=31, "Middle Age", IF(L323&lt;31, "Adoloscent", "Invalid")))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Adoloscent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Adoloscent</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Adoloscent</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 t="shared" si="5"/>
        <v>Adoloscent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Adoloscent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1">
        <v>80000</v>
      </c>
      <c r="E361">
        <v>0</v>
      </c>
      <c r="F361" t="s">
        <v>13</v>
      </c>
      <c r="G361" t="s">
        <v>21</v>
      </c>
      <c r="H361" t="s">
        <v>15</v>
      </c>
      <c r="I361">
        <v>3</v>
      </c>
      <c r="J361" t="s">
        <v>46</v>
      </c>
      <c r="K361" t="s">
        <v>24</v>
      </c>
      <c r="L361">
        <v>30</v>
      </c>
      <c r="M361" t="str">
        <f t="shared" si="5"/>
        <v>Adoloscent</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f t="shared" si="5"/>
        <v>Adoloscent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Adoloscent</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1">
        <v>70000</v>
      </c>
      <c r="E382">
        <v>0</v>
      </c>
      <c r="F382" t="s">
        <v>13</v>
      </c>
      <c r="G382" t="s">
        <v>21</v>
      </c>
      <c r="H382" t="s">
        <v>18</v>
      </c>
      <c r="I382">
        <v>3</v>
      </c>
      <c r="J382" t="s">
        <v>46</v>
      </c>
      <c r="K382" t="s">
        <v>24</v>
      </c>
      <c r="L382">
        <v>30</v>
      </c>
      <c r="M382" t="str">
        <f t="shared" si="5"/>
        <v>Adoloscent</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f t="shared" si="5"/>
        <v>Adoloscent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IF(L387&gt;54, "Old", IF(L387&gt;=31, "Middle Age", IF(L387&lt;31, "Adoloscent", "Invalid")))</f>
        <v>Middle Age</v>
      </c>
      <c r="N387" t="s">
        <v>18</v>
      </c>
    </row>
    <row r="388" spans="1:14" x14ac:dyDescent="0.25">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Adoloscent</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Adoloscent</v>
      </c>
      <c r="N433" t="s">
        <v>15</v>
      </c>
    </row>
    <row r="434" spans="1:14" x14ac:dyDescent="0.25">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f t="shared" si="6"/>
        <v>Adoloscent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f t="shared" si="6"/>
        <v>Adoloscent</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IF(L451&gt;54, "Old", IF(L451&gt;=31, "Middle Age", IF(L451&lt;31, "Adoloscent", "Invalid")))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Adoloscent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Adoloscent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Adoloscent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1">
        <v>60000</v>
      </c>
      <c r="E515">
        <v>4</v>
      </c>
      <c r="F515" t="s">
        <v>31</v>
      </c>
      <c r="G515" t="s">
        <v>28</v>
      </c>
      <c r="H515" t="s">
        <v>15</v>
      </c>
      <c r="I515">
        <v>2</v>
      </c>
      <c r="J515" t="s">
        <v>46</v>
      </c>
      <c r="K515" t="s">
        <v>32</v>
      </c>
      <c r="L515">
        <v>61</v>
      </c>
      <c r="M515" t="str">
        <f t="shared" ref="M515:M578" si="8">IF(L515&gt;54, "Old", IF(L515&gt;=31, "Middle Age", IF(L515&lt;31, "Adoloscent", "Invalid")))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f t="shared" si="8"/>
        <v>Adoloscent</v>
      </c>
      <c r="N530" t="s">
        <v>18</v>
      </c>
    </row>
    <row r="531" spans="1:14" x14ac:dyDescent="0.25">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Adoloscent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Adoloscent</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Adoloscent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Adoloscent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 t="shared" si="8"/>
        <v>Adoloscent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Adoloscent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Adoloscent</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IF(L579&gt;54, "Old", IF(L579&gt;=31, "Middle Age", IF(L579&lt;31, "Adoloscent", "Invalid")))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Adoloscent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Adoloscent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f t="shared" si="9"/>
        <v>Adoloscent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f t="shared" si="9"/>
        <v>Adoloscent</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f t="shared" si="9"/>
        <v>Adoloscent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Adoloscent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Adoloscent</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Adoloscent</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1">
        <v>50000</v>
      </c>
      <c r="E643">
        <v>4</v>
      </c>
      <c r="F643" t="s">
        <v>13</v>
      </c>
      <c r="G643" t="s">
        <v>28</v>
      </c>
      <c r="H643" t="s">
        <v>15</v>
      </c>
      <c r="I643">
        <v>2</v>
      </c>
      <c r="J643" t="s">
        <v>46</v>
      </c>
      <c r="K643" t="s">
        <v>32</v>
      </c>
      <c r="L643">
        <v>64</v>
      </c>
      <c r="M643" t="str">
        <f t="shared" ref="M643:M706" si="10">IF(L643&gt;54, "Old", IF(L643&gt;=31, "Middle Age", IF(L643&lt;31, "Adoloscent", "Invalid")))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Adoloscent</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f t="shared" si="10"/>
        <v>Adoloscent</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Adoloscent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Adoloscent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Adoloscent</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Adoloscent</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Adoloscent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Adoloscent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1">
        <v>70000</v>
      </c>
      <c r="E707">
        <v>4</v>
      </c>
      <c r="F707" t="s">
        <v>13</v>
      </c>
      <c r="G707" t="s">
        <v>28</v>
      </c>
      <c r="H707" t="s">
        <v>15</v>
      </c>
      <c r="I707">
        <v>1</v>
      </c>
      <c r="J707" t="s">
        <v>46</v>
      </c>
      <c r="K707" t="s">
        <v>32</v>
      </c>
      <c r="L707">
        <v>59</v>
      </c>
      <c r="M707" t="str">
        <f t="shared" ref="M707:M770" si="11">IF(L707&gt;54, "Old", IF(L707&gt;=31, "Middle Age", IF(L707&lt;31, "Adoloscent", "Invalid")))</f>
        <v>Old</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Adoloscent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Adoloscent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f t="shared" si="11"/>
        <v>Adoloscent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Adoloscent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Adoloscent</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f t="shared" si="11"/>
        <v>Adoloscent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Adoloscent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IF(L771&gt;54, "Old", IF(L771&gt;=31, "Middle Age", IF(L771&lt;31, "Adoloscent", "Invalid")))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Adoloscent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f t="shared" si="12"/>
        <v>Adoloscent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Adoloscent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Adoloscent</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f t="shared" si="12"/>
        <v>Adoloscent</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Adoloscent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Adoloscent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Adoloscent</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Adoloscent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Adoloscent</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f t="shared" si="12"/>
        <v>Adoloscent</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f t="shared" si="12"/>
        <v>Adoloscent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 t="shared" ref="M835:M898" si="13">IF(L835&gt;54, "Old", IF(L835&gt;=31, "Middle Age", IF(L835&lt;31, "Adoloscent", "Invalid")))</f>
        <v>Middle Age</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Adoloscent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f t="shared" si="13"/>
        <v>Adoloscent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Adoloscent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Adoloscent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IF(L899&gt;54, "Old", IF(L899&gt;=31, "Middle Age", IF(L899&lt;31, "Adoloscent", "Invalid")))</f>
        <v>Adoloscent</v>
      </c>
      <c r="N899" t="s">
        <v>18</v>
      </c>
    </row>
    <row r="900" spans="1:14" x14ac:dyDescent="0.25">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 t="shared" si="14"/>
        <v>Adoloscent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Adoloscent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Adoloscent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f t="shared" si="14"/>
        <v>Adoloscent</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Adoloscent</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01" si="15">IF(L963&gt;54, "Old", IF(L963&gt;=31, "Middle Age", IF(L963&lt;31, "Adoloscent", "Invalid")))</f>
        <v>Old</v>
      </c>
      <c r="N963" t="s">
        <v>18</v>
      </c>
    </row>
    <row r="964" spans="1:14" x14ac:dyDescent="0.25">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Adoloscent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f t="shared" si="15"/>
        <v>Adoloscent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autoFilter ref="A1:N1001" xr:uid="{6C4BE988-6F8A-477B-80DF-B5FDAB2284B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E51C6-4881-40BC-A0F8-0A2690253F72}">
  <dimension ref="A3:D44"/>
  <sheetViews>
    <sheetView tabSelected="1" topLeftCell="A34" zoomScale="85" zoomScaleNormal="85" workbookViewId="0">
      <selection activeCell="A58" sqref="A5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3" t="s">
        <v>43</v>
      </c>
      <c r="B3" s="3" t="s">
        <v>44</v>
      </c>
    </row>
    <row r="4" spans="1:4" x14ac:dyDescent="0.25">
      <c r="A4" s="3" t="s">
        <v>41</v>
      </c>
      <c r="B4" t="s">
        <v>18</v>
      </c>
      <c r="C4" t="s">
        <v>15</v>
      </c>
      <c r="D4" t="s">
        <v>42</v>
      </c>
    </row>
    <row r="5" spans="1:4" x14ac:dyDescent="0.25">
      <c r="A5" s="4" t="s">
        <v>38</v>
      </c>
      <c r="B5" s="1">
        <v>85000</v>
      </c>
      <c r="C5" s="1">
        <v>68750</v>
      </c>
      <c r="D5" s="1">
        <v>74166.666666666672</v>
      </c>
    </row>
    <row r="6" spans="1:4" x14ac:dyDescent="0.25">
      <c r="A6" s="4" t="s">
        <v>39</v>
      </c>
      <c r="B6" s="1">
        <v>78181.818181818177</v>
      </c>
      <c r="C6" s="1">
        <v>72727.272727272721</v>
      </c>
      <c r="D6" s="1">
        <v>75454.545454545456</v>
      </c>
    </row>
    <row r="7" spans="1:4" x14ac:dyDescent="0.25">
      <c r="A7" s="4" t="s">
        <v>42</v>
      </c>
      <c r="B7" s="1">
        <v>80000</v>
      </c>
      <c r="C7" s="1">
        <v>71052.631578947374</v>
      </c>
      <c r="D7" s="1">
        <v>75000</v>
      </c>
    </row>
    <row r="21" spans="1:4" x14ac:dyDescent="0.25">
      <c r="A21" s="3" t="s">
        <v>45</v>
      </c>
      <c r="B21" s="3" t="s">
        <v>44</v>
      </c>
    </row>
    <row r="22" spans="1:4" x14ac:dyDescent="0.25">
      <c r="A22" s="3" t="s">
        <v>41</v>
      </c>
      <c r="B22" t="s">
        <v>18</v>
      </c>
      <c r="C22" t="s">
        <v>15</v>
      </c>
      <c r="D22" t="s">
        <v>42</v>
      </c>
    </row>
    <row r="23" spans="1:4" x14ac:dyDescent="0.25">
      <c r="A23" s="4" t="s">
        <v>16</v>
      </c>
      <c r="B23" s="5">
        <v>2</v>
      </c>
      <c r="C23" s="5">
        <v>9</v>
      </c>
      <c r="D23" s="5">
        <v>11</v>
      </c>
    </row>
    <row r="24" spans="1:4" x14ac:dyDescent="0.25">
      <c r="A24" s="4" t="s">
        <v>26</v>
      </c>
      <c r="B24" s="5">
        <v>2</v>
      </c>
      <c r="C24" s="5">
        <v>3</v>
      </c>
      <c r="D24" s="5">
        <v>5</v>
      </c>
    </row>
    <row r="25" spans="1:4" x14ac:dyDescent="0.25">
      <c r="A25" s="4" t="s">
        <v>22</v>
      </c>
      <c r="B25" s="5">
        <v>4</v>
      </c>
      <c r="C25" s="5">
        <v>3</v>
      </c>
      <c r="D25" s="5">
        <v>7</v>
      </c>
    </row>
    <row r="26" spans="1:4" x14ac:dyDescent="0.25">
      <c r="A26" s="4" t="s">
        <v>23</v>
      </c>
      <c r="B26" s="5">
        <v>3</v>
      </c>
      <c r="C26" s="5">
        <v>2</v>
      </c>
      <c r="D26" s="5">
        <v>5</v>
      </c>
    </row>
    <row r="27" spans="1:4" x14ac:dyDescent="0.25">
      <c r="A27" s="4" t="s">
        <v>46</v>
      </c>
      <c r="B27" s="5">
        <v>4</v>
      </c>
      <c r="C27" s="5">
        <v>2</v>
      </c>
      <c r="D27" s="5">
        <v>6</v>
      </c>
    </row>
    <row r="28" spans="1:4" x14ac:dyDescent="0.25">
      <c r="A28" s="4" t="s">
        <v>42</v>
      </c>
      <c r="B28" s="5">
        <v>15</v>
      </c>
      <c r="C28" s="5">
        <v>19</v>
      </c>
      <c r="D28" s="5">
        <v>34</v>
      </c>
    </row>
    <row r="39" spans="1:4" x14ac:dyDescent="0.25">
      <c r="A39" s="3" t="s">
        <v>45</v>
      </c>
      <c r="B39" s="3" t="s">
        <v>44</v>
      </c>
    </row>
    <row r="40" spans="1:4" x14ac:dyDescent="0.25">
      <c r="A40" s="3" t="s">
        <v>41</v>
      </c>
      <c r="B40" t="s">
        <v>18</v>
      </c>
      <c r="C40" t="s">
        <v>15</v>
      </c>
      <c r="D40" t="s">
        <v>42</v>
      </c>
    </row>
    <row r="41" spans="1:4" x14ac:dyDescent="0.25">
      <c r="A41" s="4" t="s">
        <v>47</v>
      </c>
      <c r="B41" s="5">
        <v>1</v>
      </c>
      <c r="C41" s="5">
        <v>4</v>
      </c>
      <c r="D41" s="5">
        <v>5</v>
      </c>
    </row>
    <row r="42" spans="1:4" x14ac:dyDescent="0.25">
      <c r="A42" s="4" t="s">
        <v>48</v>
      </c>
      <c r="B42" s="5">
        <v>12</v>
      </c>
      <c r="C42" s="5">
        <v>13</v>
      </c>
      <c r="D42" s="5">
        <v>25</v>
      </c>
    </row>
    <row r="43" spans="1:4" x14ac:dyDescent="0.25">
      <c r="A43" s="4" t="s">
        <v>49</v>
      </c>
      <c r="B43" s="5">
        <v>2</v>
      </c>
      <c r="C43" s="5">
        <v>2</v>
      </c>
      <c r="D43" s="5">
        <v>4</v>
      </c>
    </row>
    <row r="44" spans="1:4" x14ac:dyDescent="0.25">
      <c r="A44" s="4" t="s">
        <v>42</v>
      </c>
      <c r="B44" s="5">
        <v>15</v>
      </c>
      <c r="C44" s="5">
        <v>19</v>
      </c>
      <c r="D44" s="5">
        <v>34</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94633-26F2-4DCC-827F-8C9F58BA5C21}">
  <dimension ref="A1:W3"/>
  <sheetViews>
    <sheetView showGridLines="0" topLeftCell="A13" zoomScale="40" zoomScaleNormal="40" workbookViewId="0">
      <selection activeCell="Y22" sqref="Y22"/>
    </sheetView>
  </sheetViews>
  <sheetFormatPr defaultRowHeight="15" x14ac:dyDescent="0.25"/>
  <sheetData>
    <row r="1" spans="1:23" ht="61.5" x14ac:dyDescent="0.9">
      <c r="A1" s="6"/>
      <c r="B1" s="6"/>
      <c r="C1" s="6"/>
      <c r="D1" s="6"/>
      <c r="E1" s="6"/>
      <c r="F1" s="7" t="s">
        <v>50</v>
      </c>
      <c r="G1" s="6"/>
      <c r="H1" s="6"/>
      <c r="I1" s="6"/>
      <c r="J1" s="6"/>
      <c r="K1" s="6"/>
      <c r="L1" s="6"/>
      <c r="M1" s="6"/>
      <c r="N1" s="6"/>
      <c r="O1" s="6"/>
      <c r="P1" s="6"/>
      <c r="Q1" s="8"/>
      <c r="R1" s="8"/>
      <c r="S1" s="8"/>
      <c r="T1" s="8"/>
      <c r="U1" s="8"/>
      <c r="V1" s="8"/>
      <c r="W1" s="8"/>
    </row>
    <row r="2" spans="1:23" x14ac:dyDescent="0.25">
      <c r="A2" s="6"/>
      <c r="B2" s="6"/>
      <c r="C2" s="6"/>
      <c r="D2" s="6"/>
      <c r="E2" s="6"/>
      <c r="F2" s="6"/>
      <c r="G2" s="6"/>
      <c r="H2" s="6"/>
      <c r="I2" s="6"/>
      <c r="J2" s="6"/>
      <c r="K2" s="6"/>
      <c r="L2" s="6"/>
      <c r="M2" s="6"/>
      <c r="N2" s="6"/>
      <c r="O2" s="6"/>
      <c r="P2" s="6"/>
      <c r="Q2" s="8"/>
      <c r="R2" s="8"/>
      <c r="S2" s="8"/>
      <c r="T2" s="8"/>
      <c r="U2" s="8"/>
      <c r="V2" s="8"/>
      <c r="W2" s="8"/>
    </row>
    <row r="3" spans="1:23" x14ac:dyDescent="0.25">
      <c r="A3" s="6"/>
      <c r="B3" s="6"/>
      <c r="C3" s="6"/>
      <c r="D3" s="6"/>
      <c r="E3" s="6"/>
      <c r="F3" s="6"/>
      <c r="G3" s="6"/>
      <c r="H3" s="6"/>
      <c r="I3" s="6"/>
      <c r="J3" s="6"/>
      <c r="K3" s="6"/>
      <c r="L3" s="6"/>
      <c r="M3" s="6"/>
      <c r="N3" s="6"/>
      <c r="O3" s="6"/>
      <c r="P3" s="6"/>
      <c r="Q3" s="8"/>
      <c r="R3" s="8"/>
      <c r="S3" s="8"/>
      <c r="T3" s="8"/>
      <c r="U3" s="8"/>
      <c r="V3" s="8"/>
      <c r="W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Rodolfo Salazar</dc:creator>
  <cp:lastModifiedBy>Rodolfo Salazar</cp:lastModifiedBy>
  <dcterms:created xsi:type="dcterms:W3CDTF">2022-03-18T02:50:57Z</dcterms:created>
  <dcterms:modified xsi:type="dcterms:W3CDTF">2026-06-17T08:58:32Z</dcterms:modified>
</cp:coreProperties>
</file>